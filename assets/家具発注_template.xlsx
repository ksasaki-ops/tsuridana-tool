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発注書" sheetId="1" state="visible" r:id="rId1"/>
  </sheets>
  <definedNames>
    <definedName name="_xlnm.Print_Area" localSheetId="0">'発注書'!$A$1:$Q$39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¥&quot;#,##0;[Red]&quot;¥&quot;\-#,##0"/>
    <numFmt numFmtId="165" formatCode="#,##0;[Red]\-#,##0&quot;（税込）&quot;"/>
  </numFmts>
  <fonts count="13">
    <font>
      <name val="Yu Gothic"/>
      <charset val="128"/>
      <family val="3"/>
      <color theme="1"/>
      <sz val="11"/>
      <scheme val="minor"/>
    </font>
    <font>
      <name val="Yu Gothic"/>
      <charset val="128"/>
      <family val="2"/>
      <color theme="1"/>
      <sz val="12"/>
      <scheme val="minor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81"/>
      <sz val="9"/>
    </font>
    <font>
      <name val="Yu Gothic"/>
      <charset val="128"/>
      <family val="3"/>
      <color theme="1"/>
      <sz val="11"/>
      <scheme val="minor"/>
    </font>
    <font>
      <name val="Yu Gothic"/>
      <charset val="128"/>
      <family val="3"/>
      <color theme="1"/>
      <sz val="12"/>
      <scheme val="minor"/>
    </font>
    <font>
      <name val="Yu Gothic"/>
      <charset val="128"/>
      <family val="3"/>
      <b val="1"/>
      <color theme="1"/>
      <sz val="12"/>
      <scheme val="minor"/>
    </font>
    <font>
      <name val="Yu Gothic"/>
      <charset val="128"/>
      <family val="3"/>
      <color theme="1"/>
      <sz val="18"/>
      <scheme val="minor"/>
    </font>
    <font>
      <name val="Yu Gothic"/>
      <charset val="128"/>
      <family val="3"/>
      <color theme="1"/>
      <sz val="16"/>
      <scheme val="minor"/>
    </font>
    <font>
      <name val="Yu Gothic"/>
      <charset val="128"/>
      <family val="3"/>
      <color theme="1"/>
      <sz val="14"/>
      <scheme val="minor"/>
    </font>
    <font>
      <name val="Yu Gothic"/>
      <charset val="128"/>
      <family val="3"/>
      <b val="1"/>
      <color theme="1"/>
      <sz val="14"/>
      <scheme val="minor"/>
    </font>
    <font>
      <name val="Yu Gothic"/>
      <charset val="128"/>
      <family val="3"/>
      <color theme="10"/>
      <sz val="11"/>
      <u val="single"/>
      <scheme val="minor"/>
    </font>
    <font>
      <name val="-Apple-System"/>
      <charset val="1"/>
      <b val="1"/>
      <color rgb="FF181818"/>
      <sz val="14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4" fillId="0" borderId="0" applyAlignment="1">
      <alignment vertical="center"/>
    </xf>
    <xf numFmtId="9" fontId="4" fillId="0" borderId="0" applyAlignment="1">
      <alignment vertical="center"/>
    </xf>
    <xf numFmtId="38" fontId="4" fillId="0" borderId="0" applyAlignment="1">
      <alignment vertical="center"/>
    </xf>
    <xf numFmtId="6" fontId="4" fillId="0" borderId="0" applyAlignment="1">
      <alignment vertical="center"/>
    </xf>
    <xf numFmtId="0" fontId="11" fillId="0" borderId="0" applyAlignment="1">
      <alignment vertical="center"/>
    </xf>
  </cellStyleXfs>
  <cellXfs count="76">
    <xf numFmtId="0" fontId="0" fillId="0" borderId="0" applyAlignment="1" pivotButton="0" quotePrefix="0" xfId="0">
      <alignment vertical="center"/>
    </xf>
    <xf numFmtId="9" fontId="4" fillId="0" borderId="0" applyAlignment="1" pivotButton="0" quotePrefix="0" xfId="1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pivotButton="0" quotePrefix="0" xfId="0">
      <alignment horizontal="center" vertical="center"/>
    </xf>
    <xf numFmtId="0" fontId="11" fillId="0" borderId="0" applyAlignment="1" applyProtection="1" pivotButton="0" quotePrefix="0" xfId="4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8" fillId="0" borderId="4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10" fillId="0" borderId="5" applyAlignment="1" applyProtection="1" pivotButton="0" quotePrefix="0" xfId="0">
      <alignment horizontal="right" vertical="center"/>
      <protection locked="0" hidden="0"/>
    </xf>
    <xf numFmtId="0" fontId="12" fillId="0" borderId="5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14" fontId="1" fillId="0" borderId="4" applyAlignment="1" applyProtection="1" pivotButton="0" quotePrefix="0" xfId="0">
      <alignment horizontal="left" vertical="center"/>
      <protection locked="0" hidden="0"/>
    </xf>
    <xf numFmtId="38" fontId="5" fillId="0" borderId="2" applyAlignment="1" applyProtection="1" pivotButton="0" quotePrefix="0" xfId="2">
      <alignment horizontal="right" vertical="center"/>
      <protection locked="0" hidden="0"/>
    </xf>
    <xf numFmtId="38" fontId="5" fillId="0" borderId="6" applyAlignment="1" applyProtection="1" pivotButton="0" quotePrefix="0" xfId="2">
      <alignment horizontal="right" vertical="center"/>
      <protection locked="0" hidden="0"/>
    </xf>
    <xf numFmtId="38" fontId="5" fillId="0" borderId="3" applyAlignment="1" applyProtection="1" pivotButton="0" quotePrefix="0" xfId="2">
      <alignment horizontal="right" vertical="center"/>
      <protection locked="0" hidden="0"/>
    </xf>
    <xf numFmtId="0" fontId="5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5" fillId="0" borderId="2" applyAlignment="1" pivotButton="0" quotePrefix="0" xfId="3">
      <alignment horizontal="right" vertical="center"/>
    </xf>
    <xf numFmtId="164" fontId="5" fillId="0" borderId="6" applyAlignment="1" pivotButton="0" quotePrefix="0" xfId="3">
      <alignment horizontal="right" vertical="center"/>
    </xf>
    <xf numFmtId="164" fontId="5" fillId="0" borderId="3" applyAlignment="1" pivotButton="0" quotePrefix="0" xfId="3">
      <alignment horizontal="right" vertical="center"/>
    </xf>
    <xf numFmtId="38" fontId="5" fillId="0" borderId="1" applyAlignment="1" applyProtection="1" pivotButton="0" quotePrefix="0" xfId="2">
      <alignment horizontal="right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0" fontId="5" fillId="0" borderId="6" applyAlignment="1" applyProtection="1" pivotButton="0" quotePrefix="0" xfId="0">
      <alignment horizontal="left" vertical="center"/>
      <protection locked="0" hidden="0"/>
    </xf>
    <xf numFmtId="0" fontId="5" fillId="0" borderId="3" applyAlignment="1" applyProtection="1" pivotButton="0" quotePrefix="0" xfId="0">
      <alignment horizontal="left" vertical="center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164" fontId="10" fillId="0" borderId="5" applyAlignment="1" pivotButton="0" quotePrefix="0" xfId="3">
      <alignment horizontal="center" vertical="center"/>
    </xf>
    <xf numFmtId="165" fontId="5" fillId="0" borderId="5" applyAlignment="1" applyProtection="1" pivotButton="0" quotePrefix="0" xfId="2">
      <alignment vertical="center"/>
      <protection locked="0" hidden="0"/>
    </xf>
    <xf numFmtId="0" fontId="5" fillId="0" borderId="1" applyAlignment="1" applyProtection="1" pivotButton="0" quotePrefix="0" xfId="0">
      <alignment horizontal="left" vertical="center" shrinkToFit="1"/>
      <protection locked="0" hidden="0"/>
    </xf>
    <xf numFmtId="0" fontId="5" fillId="0" borderId="1" applyAlignment="1" applyProtection="1" pivotButton="0" quotePrefix="0" xfId="0">
      <alignment horizontal="left" vertical="center" wrapText="1" shrinkToFit="1"/>
      <protection locked="0" hidden="0"/>
    </xf>
    <xf numFmtId="0" fontId="5" fillId="0" borderId="2" applyAlignment="1" applyProtection="1" pivotButton="0" quotePrefix="0" xfId="0">
      <alignment horizontal="left" vertical="center" shrinkToFit="1"/>
      <protection locked="0" hidden="0"/>
    </xf>
    <xf numFmtId="0" fontId="5" fillId="0" borderId="6" applyAlignment="1" applyProtection="1" pivotButton="0" quotePrefix="0" xfId="0">
      <alignment horizontal="left" vertical="center" shrinkToFit="1"/>
      <protection locked="0" hidden="0"/>
    </xf>
    <xf numFmtId="0" fontId="5" fillId="0" borderId="3" applyAlignment="1" applyProtection="1" pivotButton="0" quotePrefix="0" xfId="0">
      <alignment horizontal="left" vertical="center" shrinkToFit="1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3">
      <alignment horizontal="right" vertical="center"/>
    </xf>
    <xf numFmtId="0" fontId="5" fillId="0" borderId="1" applyAlignment="1" applyProtection="1" pivotButton="0" quotePrefix="0" xfId="0">
      <alignment vertical="center"/>
      <protection locked="0" hidden="0"/>
    </xf>
    <xf numFmtId="0" fontId="1" fillId="0" borderId="4" applyAlignment="1" applyProtection="1" pivotButton="0" quotePrefix="0" xfId="0">
      <alignment vertical="center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164" fontId="6" fillId="0" borderId="1" applyAlignment="1" pivotButton="0" quotePrefix="0" xfId="3">
      <alignment horizontal="right" vertical="center"/>
    </xf>
    <xf numFmtId="0" fontId="5" fillId="0" borderId="0" applyAlignment="1" applyProtection="1" pivotButton="0" quotePrefix="1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10" fillId="0" borderId="5" applyAlignment="1" pivotButton="0" quotePrefix="0" xfId="3">
      <alignment horizontal="center" vertical="center"/>
    </xf>
    <xf numFmtId="0" fontId="0" fillId="0" borderId="5" pivotButton="0" quotePrefix="0" xfId="0"/>
    <xf numFmtId="165" fontId="5" fillId="0" borderId="5" applyAlignment="1" applyProtection="1" pivotButton="0" quotePrefix="0" xfId="2">
      <alignment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4" fontId="5" fillId="0" borderId="1" applyAlignment="1" pivotButton="0" quotePrefix="0" xfId="3">
      <alignment horizontal="right" vertical="center"/>
    </xf>
    <xf numFmtId="0" fontId="0" fillId="0" borderId="6" pivotButton="0" quotePrefix="0" xfId="0"/>
    <xf numFmtId="0" fontId="0" fillId="0" borderId="3" pivotButton="0" quotePrefix="0" xfId="0"/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horizontal="right" vertical="center"/>
    </xf>
    <xf numFmtId="0" fontId="0" fillId="0" borderId="8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</cellXfs>
  <cellStyles count="5">
    <cellStyle name="標準" xfId="0" builtinId="0"/>
    <cellStyle name="パーセント" xfId="1" builtinId="5"/>
    <cellStyle name="桁区切り" xfId="2" builtinId="6"/>
    <cellStyle name="通貨" xfId="3" builtinId="7"/>
    <cellStyle name="ハイパーリンク" xfId="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作成者</author>
  </authors>
  <commentList>
    <comment ref="D15" authorId="0" shapeId="0">
      <text>
        <t>数式が入っています。</t>
      </text>
    </comment>
    <comment ref="O18" authorId="0" shapeId="0">
      <text>
        <t>数式が入っています</t>
      </text>
    </comment>
    <comment ref="O19" authorId="0" shapeId="0">
      <text>
        <t>数式が入っています</t>
      </text>
    </comment>
    <comment ref="O20" authorId="0" shapeId="0">
      <text>
        <t>数式が入っています</t>
      </text>
    </comment>
    <comment ref="O21" authorId="0" shapeId="0">
      <text>
        <t>数式が入っています</t>
      </text>
    </comment>
    <comment ref="O22" authorId="0" shapeId="0">
      <text>
        <t>数式が入っています</t>
      </text>
    </comment>
    <comment ref="O23" authorId="0" shapeId="0">
      <text>
        <t>数式が入っています</t>
      </text>
    </comment>
    <comment ref="O24" authorId="0" shapeId="0">
      <text>
        <t>数式が入っています</t>
      </text>
    </comment>
    <comment ref="O25" authorId="0" shapeId="0">
      <text>
        <t>数式が入っています</t>
      </text>
    </comment>
    <comment ref="O26" authorId="0" shapeId="0">
      <text>
        <t>数式が入っています</t>
      </text>
    </comment>
    <comment ref="O27" authorId="0" shapeId="0">
      <text>
        <t>数式が入っています</t>
      </text>
    </comment>
    <comment ref="O28" authorId="0" shapeId="0">
      <text>
        <t>数式が入っています</t>
      </text>
    </comment>
    <comment ref="O29" authorId="0" shapeId="0">
      <text>
        <t>数式が入っています</t>
      </text>
    </comment>
    <comment ref="L30" authorId="0" shapeId="0">
      <text>
        <t>数式が入っています</t>
      </text>
    </comment>
    <comment ref="L31" authorId="0" shapeId="0">
      <text>
        <t>数式が入っています</t>
      </text>
    </comment>
    <comment ref="L32" authorId="0" shapeId="0">
      <text>
        <t>数式が入っています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342900</colOff>
      <row>5</row>
      <rowOff>240574</rowOff>
    </from>
    <to>
      <col>16</col>
      <colOff>171450</colOff>
      <row>8</row>
      <rowOff>108911</rowOff>
    </to>
    <pic>
      <nvPicPr>
        <cNvPr id="4" name="図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43650" y="1631224"/>
          <a:ext cx="685800" cy="6779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tabSelected="1" workbookViewId="0">
      <selection activeCell="K2" sqref="K2"/>
    </sheetView>
  </sheetViews>
  <sheetFormatPr baseColWidth="8" defaultColWidth="5.625" defaultRowHeight="30" customHeight="1"/>
  <sheetData>
    <row r="1" ht="30" customHeight="1" s="56">
      <c r="A1" s="15" t="inlineStr">
        <is>
          <t>発　注　書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</row>
    <row r="2" ht="9.949999999999999" customHeight="1" s="56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0" customHeight="1" s="56">
      <c r="A3" s="16" t="inlineStr">
        <is>
          <t>株式会社さわにし工芸</t>
        </is>
      </c>
      <c r="B3" s="58" t="n"/>
      <c r="C3" s="58" t="n"/>
      <c r="D3" s="58" t="n"/>
      <c r="E3" s="58" t="n"/>
      <c r="F3" s="58" t="n"/>
      <c r="G3" s="58" t="n"/>
      <c r="H3" s="17" t="inlineStr">
        <is>
          <t>御中</t>
        </is>
      </c>
      <c r="I3" s="57" t="n"/>
      <c r="J3" s="2" t="n"/>
      <c r="K3" s="2" t="n"/>
      <c r="L3" s="13" t="inlineStr"/>
      <c r="M3" s="57" t="n"/>
      <c r="N3" s="57" t="n"/>
      <c r="O3" s="57" t="n"/>
      <c r="P3" s="57" t="n"/>
      <c r="Q3" s="57" t="n"/>
    </row>
    <row r="4" ht="30" customHeight="1" s="56">
      <c r="A4" s="2" t="n"/>
      <c r="B4" s="18" t="inlineStr">
        <is>
          <t>ご担当：</t>
        </is>
      </c>
      <c r="C4" s="57" t="n"/>
      <c r="D4" s="19" t="inlineStr">
        <is>
          <t>赤塚</t>
        </is>
      </c>
      <c r="E4" s="57" t="n"/>
      <c r="F4" s="57" t="n"/>
      <c r="G4" s="18" t="inlineStr">
        <is>
          <t>様</t>
        </is>
      </c>
      <c r="H4" s="2" t="n"/>
      <c r="I4" s="2" t="n"/>
      <c r="J4" s="2" t="n"/>
      <c r="K4" s="2" t="n"/>
      <c r="L4" s="14" t="inlineStr"/>
      <c r="M4" s="57" t="n"/>
      <c r="N4" s="57" t="n"/>
      <c r="O4" s="57" t="n"/>
      <c r="P4" s="57" t="n"/>
      <c r="Q4" s="57" t="n"/>
    </row>
    <row r="5" ht="9.949999999999999" customHeight="1" s="56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 ht="24.95" customHeight="1" s="56">
      <c r="A6" s="20" t="inlineStr">
        <is>
          <t>件名：</t>
        </is>
      </c>
      <c r="B6" s="59" t="n"/>
      <c r="C6" s="21" t="inlineStr"/>
      <c r="D6" s="59" t="n"/>
      <c r="E6" s="59" t="n"/>
      <c r="F6" s="59" t="n"/>
      <c r="G6" s="59" t="n"/>
      <c r="H6" s="59" t="n"/>
      <c r="I6" s="59" t="n"/>
      <c r="J6" s="2" t="n"/>
      <c r="K6" s="18" t="inlineStr">
        <is>
          <t>株式会社ライフタイムサポート</t>
        </is>
      </c>
      <c r="L6" s="57" t="n"/>
      <c r="M6" s="57" t="n"/>
      <c r="N6" s="57" t="n"/>
      <c r="O6" s="57" t="n"/>
      <c r="P6" s="57" t="n"/>
      <c r="Q6" s="57" t="n"/>
      <c r="T6" s="1" t="n"/>
    </row>
    <row r="7" ht="20.1" customHeight="1" s="56">
      <c r="A7" s="2" t="n"/>
      <c r="B7" s="14" t="inlineStr">
        <is>
          <t>下記のとおり、発注致します。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18" t="inlineStr">
        <is>
          <t>〒343-0806</t>
        </is>
      </c>
      <c r="L7" s="57" t="n"/>
      <c r="M7" s="57" t="n"/>
      <c r="N7" s="57" t="n"/>
      <c r="O7" s="57" t="n"/>
      <c r="P7" s="57" t="n"/>
      <c r="Q7" s="57" t="n"/>
    </row>
    <row r="8" ht="20.1" customHeight="1" s="56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18" t="inlineStr">
        <is>
          <t>埼玉県越谷市宮本町5-5-8</t>
        </is>
      </c>
      <c r="L8" s="57" t="n"/>
      <c r="M8" s="57" t="n"/>
      <c r="N8" s="57" t="n"/>
      <c r="O8" s="57" t="n"/>
      <c r="P8" s="57" t="n"/>
      <c r="Q8" s="57" t="n"/>
    </row>
    <row r="9" ht="20.1" customHeight="1" s="56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18" t="n"/>
      <c r="L9" s="57" t="n"/>
      <c r="M9" s="57" t="n"/>
      <c r="N9" s="57" t="n"/>
      <c r="O9" s="57" t="n"/>
      <c r="P9" s="57" t="n"/>
      <c r="Q9" s="57" t="n"/>
    </row>
    <row r="10" ht="20.1" customHeight="1" s="56">
      <c r="A10" s="22" t="inlineStr">
        <is>
          <t>納期：</t>
        </is>
      </c>
      <c r="B10" s="57" t="n"/>
      <c r="C10" s="26" t="inlineStr">
        <is>
          <t>最短日</t>
        </is>
      </c>
      <c r="D10" s="58" t="n"/>
      <c r="E10" s="58" t="n"/>
      <c r="F10" s="58" t="n"/>
      <c r="G10" s="58" t="n"/>
      <c r="H10" s="58" t="n"/>
      <c r="I10" s="58" t="n"/>
      <c r="J10" s="2" t="n"/>
      <c r="K10" s="18" t="inlineStr">
        <is>
          <t>TEL：048-954-9105</t>
        </is>
      </c>
      <c r="L10" s="57" t="n"/>
      <c r="M10" s="57" t="n"/>
      <c r="N10" s="57" t="n"/>
      <c r="O10" s="57" t="n"/>
      <c r="P10" s="57" t="n"/>
      <c r="Q10" s="57" t="n"/>
    </row>
    <row r="11" ht="20.1" customHeight="1" s="56">
      <c r="A11" s="22" t="inlineStr">
        <is>
          <t>支払条件：</t>
        </is>
      </c>
      <c r="B11" s="57" t="n"/>
      <c r="C11" s="23" t="n"/>
      <c r="D11" s="58" t="n"/>
      <c r="E11" s="58" t="n"/>
      <c r="F11" s="58" t="n"/>
      <c r="G11" s="58" t="n"/>
      <c r="H11" s="58" t="n"/>
      <c r="I11" s="58" t="n"/>
      <c r="J11" s="2" t="n"/>
      <c r="K11" s="25" t="inlineStr">
        <is>
          <t>FAX：049-54-9106</t>
        </is>
      </c>
      <c r="L11" s="57" t="n"/>
      <c r="M11" s="57" t="n"/>
      <c r="N11" s="57" t="n"/>
      <c r="O11" s="57" t="n"/>
      <c r="P11" s="57" t="n"/>
      <c r="Q11" s="57" t="n"/>
    </row>
    <row r="12" ht="20.1" customHeight="1" s="56">
      <c r="A12" s="22" t="inlineStr">
        <is>
          <t>見積No：</t>
        </is>
      </c>
      <c r="B12" s="57" t="n"/>
      <c r="C12" s="23" t="n"/>
      <c r="D12" s="58" t="n"/>
      <c r="E12" s="58" t="n"/>
      <c r="F12" s="58" t="n"/>
      <c r="G12" s="58" t="n"/>
      <c r="H12" s="58" t="n"/>
      <c r="I12" s="58" t="n"/>
      <c r="J12" s="2" t="n"/>
      <c r="K12" s="25" t="inlineStr">
        <is>
          <t>E-Mail：cs@life-time-support.com</t>
        </is>
      </c>
      <c r="L12" s="57" t="n"/>
      <c r="M12" s="57" t="n"/>
      <c r="N12" s="57" t="n"/>
      <c r="O12" s="57" t="n"/>
      <c r="P12" s="57" t="n"/>
      <c r="Q12" s="57" t="n"/>
    </row>
    <row r="13" ht="20.1" customHeight="1" s="56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5" t="inlineStr">
        <is>
          <t>担当：佐々木圭介</t>
        </is>
      </c>
      <c r="L13" s="57" t="n"/>
      <c r="M13" s="57" t="n"/>
      <c r="N13" s="57" t="n"/>
      <c r="O13" s="57" t="n"/>
      <c r="P13" s="57" t="n"/>
      <c r="Q13" s="57" t="n"/>
    </row>
    <row r="14" ht="9.949999999999999" customHeight="1" s="56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30" t="n"/>
      <c r="L14" s="30" t="n"/>
      <c r="M14" s="18" t="n"/>
      <c r="N14" s="18" t="n"/>
      <c r="O14" s="18" t="n"/>
      <c r="P14" s="18" t="n"/>
      <c r="Q14" s="18" t="n"/>
    </row>
    <row r="15" ht="30" customHeight="1" s="56" thickBot="1">
      <c r="A15" s="39" t="inlineStr">
        <is>
          <t>合計金額</t>
        </is>
      </c>
      <c r="B15" s="59" t="n"/>
      <c r="C15" s="59" t="n"/>
      <c r="D15" s="60">
        <f>L32</f>
        <v/>
      </c>
      <c r="E15" s="61" t="n"/>
      <c r="F15" s="61" t="n"/>
      <c r="G15" s="61" t="n"/>
      <c r="H15" s="62" t="inlineStr">
        <is>
          <t>（税込）</t>
        </is>
      </c>
      <c r="I15" s="59" t="n"/>
      <c r="J15" s="30" t="n"/>
      <c r="K15" s="57" t="n"/>
      <c r="L15" s="57" t="n"/>
      <c r="M15" s="31" t="n"/>
      <c r="N15" s="57" t="n"/>
      <c r="O15" s="57" t="n"/>
      <c r="P15" s="57" t="n"/>
      <c r="Q15" s="57" t="n"/>
    </row>
    <row r="16" ht="9.949999999999999" customHeight="1" s="56" thickTop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 ht="24.95" customHeight="1" s="56">
      <c r="A17" s="24" t="inlineStr">
        <is>
          <t>No.</t>
        </is>
      </c>
      <c r="B17" s="24" t="inlineStr">
        <is>
          <t>摘要</t>
        </is>
      </c>
      <c r="C17" s="63" t="n"/>
      <c r="D17" s="63" t="n"/>
      <c r="E17" s="63" t="n"/>
      <c r="F17" s="63" t="n"/>
      <c r="G17" s="63" t="n"/>
      <c r="H17" s="63" t="n"/>
      <c r="I17" s="64" t="n"/>
      <c r="J17" s="24" t="inlineStr">
        <is>
          <t>数量</t>
        </is>
      </c>
      <c r="K17" s="64" t="n"/>
      <c r="L17" s="24" t="inlineStr">
        <is>
          <t>単価</t>
        </is>
      </c>
      <c r="M17" s="63" t="n"/>
      <c r="N17" s="64" t="n"/>
      <c r="O17" s="24" t="inlineStr">
        <is>
          <t>金額</t>
        </is>
      </c>
      <c r="P17" s="63" t="n"/>
      <c r="Q17" s="64" t="n"/>
    </row>
    <row r="18" ht="20.1" customHeight="1" s="56">
      <c r="A18" s="51" t="n"/>
      <c r="B18" s="42" t="inlineStr">
        <is>
          <t>洗濯機上吊戸棚</t>
        </is>
      </c>
      <c r="C18" s="63" t="n"/>
      <c r="D18" s="63" t="n"/>
      <c r="E18" s="63" t="n"/>
      <c r="F18" s="63" t="n"/>
      <c r="G18" s="63" t="n"/>
      <c r="H18" s="63" t="n"/>
      <c r="I18" s="64" t="n"/>
      <c r="J18" s="4" t="n">
        <v>1</v>
      </c>
      <c r="K18" s="5" t="inlineStr">
        <is>
          <t>台</t>
        </is>
      </c>
      <c r="L18" s="35" t="n"/>
      <c r="M18" s="63" t="n"/>
      <c r="N18" s="64" t="n"/>
      <c r="O18" s="65" t="n"/>
      <c r="P18" s="66" t="n"/>
      <c r="Q18" s="67" t="n"/>
    </row>
    <row r="19" ht="20.1" customHeight="1" s="56">
      <c r="A19" s="51" t="n"/>
      <c r="B19" s="42" t="n"/>
      <c r="C19" s="63" t="n"/>
      <c r="D19" s="63" t="n"/>
      <c r="E19" s="63" t="n"/>
      <c r="F19" s="63" t="n"/>
      <c r="G19" s="63" t="n"/>
      <c r="H19" s="63" t="n"/>
      <c r="I19" s="64" t="n"/>
      <c r="J19" s="4" t="n"/>
      <c r="K19" s="5" t="n"/>
      <c r="L19" s="35" t="n"/>
      <c r="M19" s="63" t="n"/>
      <c r="N19" s="64" t="n"/>
      <c r="O19" s="65" t="n"/>
      <c r="P19" s="66" t="n"/>
      <c r="Q19" s="67" t="n"/>
    </row>
    <row r="20" ht="20.1" customHeight="1" s="56">
      <c r="A20" s="51" t="n"/>
      <c r="B20" s="42" t="n"/>
      <c r="C20" s="63" t="n"/>
      <c r="D20" s="63" t="n"/>
      <c r="E20" s="63" t="n"/>
      <c r="F20" s="63" t="n"/>
      <c r="G20" s="63" t="n"/>
      <c r="H20" s="63" t="n"/>
      <c r="I20" s="64" t="n"/>
      <c r="J20" s="4" t="n"/>
      <c r="K20" s="5" t="n"/>
      <c r="L20" s="35" t="n"/>
      <c r="M20" s="63" t="n"/>
      <c r="N20" s="64" t="n"/>
      <c r="O20" s="65" t="n"/>
      <c r="P20" s="66" t="n"/>
      <c r="Q20" s="67" t="n"/>
    </row>
    <row r="21" ht="19.5" customHeight="1" s="56">
      <c r="A21" s="51" t="n"/>
      <c r="B21" s="43" t="n"/>
      <c r="C21" s="63" t="n"/>
      <c r="D21" s="63" t="n"/>
      <c r="E21" s="63" t="n"/>
      <c r="F21" s="63" t="n"/>
      <c r="G21" s="63" t="n"/>
      <c r="H21" s="63" t="n"/>
      <c r="I21" s="64" t="n"/>
      <c r="J21" s="4" t="n"/>
      <c r="K21" s="5" t="n"/>
      <c r="L21" s="35" t="n"/>
      <c r="M21" s="63" t="n"/>
      <c r="N21" s="64" t="n"/>
      <c r="O21" s="65" t="n"/>
      <c r="P21" s="66" t="n"/>
      <c r="Q21" s="67" t="n"/>
    </row>
    <row r="22" ht="20.1" customHeight="1" s="56">
      <c r="A22" s="51" t="n"/>
      <c r="B22" s="42" t="n"/>
      <c r="C22" s="63" t="n"/>
      <c r="D22" s="63" t="n"/>
      <c r="E22" s="63" t="n"/>
      <c r="F22" s="63" t="n"/>
      <c r="G22" s="63" t="n"/>
      <c r="H22" s="63" t="n"/>
      <c r="I22" s="64" t="n"/>
      <c r="J22" s="4" t="n"/>
      <c r="K22" s="7" t="n"/>
      <c r="L22" s="35" t="n"/>
      <c r="M22" s="63" t="n"/>
      <c r="N22" s="64" t="n"/>
      <c r="O22" s="65" t="n"/>
      <c r="P22" s="66" t="n"/>
      <c r="Q22" s="67" t="n"/>
    </row>
    <row r="23" ht="20.1" customHeight="1" s="56">
      <c r="A23" s="51" t="n"/>
      <c r="B23" s="47" t="n"/>
      <c r="C23" s="63" t="n"/>
      <c r="D23" s="63" t="n"/>
      <c r="E23" s="63" t="n"/>
      <c r="F23" s="63" t="n"/>
      <c r="G23" s="63" t="n"/>
      <c r="H23" s="63" t="n"/>
      <c r="I23" s="64" t="n"/>
      <c r="J23" s="4" t="n"/>
      <c r="K23" s="5" t="n"/>
      <c r="L23" s="35" t="n"/>
      <c r="M23" s="63" t="n"/>
      <c r="N23" s="64" t="n"/>
      <c r="O23" s="65">
        <f>IF(AND(J23&lt;&gt;"",L23&lt;&gt;""),J23*L23,"")</f>
        <v/>
      </c>
      <c r="P23" s="66" t="n"/>
      <c r="Q23" s="67" t="n"/>
    </row>
    <row r="24" ht="20.1" customHeight="1" s="56">
      <c r="A24" s="51" t="n"/>
      <c r="B24" s="47" t="n"/>
      <c r="C24" s="63" t="n"/>
      <c r="D24" s="63" t="n"/>
      <c r="E24" s="63" t="n"/>
      <c r="F24" s="63" t="n"/>
      <c r="G24" s="63" t="n"/>
      <c r="H24" s="63" t="n"/>
      <c r="I24" s="64" t="n"/>
      <c r="J24" s="4" t="n"/>
      <c r="K24" s="5" t="n"/>
      <c r="L24" s="35" t="n"/>
      <c r="M24" s="63" t="n"/>
      <c r="N24" s="64" t="n"/>
      <c r="O24" s="65">
        <f>IF(AND(J24&lt;&gt;"",L24&lt;&gt;""),J24*L24,"")</f>
        <v/>
      </c>
      <c r="P24" s="66" t="n"/>
      <c r="Q24" s="67" t="n"/>
    </row>
    <row r="25" ht="20.1" customHeight="1" s="56">
      <c r="A25" s="51" t="n"/>
      <c r="B25" s="47" t="n"/>
      <c r="C25" s="63" t="n"/>
      <c r="D25" s="63" t="n"/>
      <c r="E25" s="63" t="n"/>
      <c r="F25" s="63" t="n"/>
      <c r="G25" s="63" t="n"/>
      <c r="H25" s="63" t="n"/>
      <c r="I25" s="64" t="n"/>
      <c r="J25" s="4" t="n"/>
      <c r="K25" s="5" t="n"/>
      <c r="L25" s="35" t="n"/>
      <c r="M25" s="63" t="n"/>
      <c r="N25" s="64" t="n"/>
      <c r="O25" s="65">
        <f>IF(AND(J25&lt;&gt;"",L25&lt;&gt;""),J25*L25,"")</f>
        <v/>
      </c>
      <c r="P25" s="66" t="n"/>
      <c r="Q25" s="67" t="n"/>
    </row>
    <row r="26" ht="20.1" customHeight="1" s="56">
      <c r="A26" s="51" t="n"/>
      <c r="B26" s="47" t="n"/>
      <c r="C26" s="63" t="n"/>
      <c r="D26" s="63" t="n"/>
      <c r="E26" s="63" t="n"/>
      <c r="F26" s="63" t="n"/>
      <c r="G26" s="63" t="n"/>
      <c r="H26" s="63" t="n"/>
      <c r="I26" s="64" t="n"/>
      <c r="J26" s="4" t="n"/>
      <c r="K26" s="5" t="n"/>
      <c r="L26" s="35" t="n"/>
      <c r="M26" s="63" t="n"/>
      <c r="N26" s="64" t="n"/>
      <c r="O26" s="65">
        <f>IF(AND(J26&lt;&gt;"",L26&lt;&gt;""),J26*L26,"")</f>
        <v/>
      </c>
      <c r="P26" s="66" t="n"/>
      <c r="Q26" s="67" t="n"/>
    </row>
    <row r="27" ht="20.1" customHeight="1" s="56">
      <c r="A27" s="51" t="n"/>
      <c r="B27" s="47" t="n"/>
      <c r="C27" s="63" t="n"/>
      <c r="D27" s="63" t="n"/>
      <c r="E27" s="63" t="n"/>
      <c r="F27" s="63" t="n"/>
      <c r="G27" s="63" t="n"/>
      <c r="H27" s="63" t="n"/>
      <c r="I27" s="64" t="n"/>
      <c r="J27" s="4" t="n"/>
      <c r="K27" s="5" t="n"/>
      <c r="L27" s="35" t="n"/>
      <c r="M27" s="63" t="n"/>
      <c r="N27" s="64" t="n"/>
      <c r="O27" s="65">
        <f>IF(AND(J27&lt;&gt;"",L27&lt;&gt;""),J27*L27,"")</f>
        <v/>
      </c>
      <c r="P27" s="66" t="n"/>
      <c r="Q27" s="67" t="n"/>
    </row>
    <row r="28" ht="20.1" customHeight="1" s="56">
      <c r="A28" s="51" t="n"/>
      <c r="B28" s="47" t="n"/>
      <c r="C28" s="63" t="n"/>
      <c r="D28" s="63" t="n"/>
      <c r="E28" s="63" t="n"/>
      <c r="F28" s="63" t="n"/>
      <c r="G28" s="63" t="n"/>
      <c r="H28" s="63" t="n"/>
      <c r="I28" s="64" t="n"/>
      <c r="J28" s="4" t="n"/>
      <c r="K28" s="5" t="n"/>
      <c r="L28" s="35" t="n"/>
      <c r="M28" s="63" t="n"/>
      <c r="N28" s="64" t="n"/>
      <c r="O28" s="65">
        <f>IF(AND(J28&lt;&gt;"",L28&lt;&gt;""),J28*L28,"")</f>
        <v/>
      </c>
      <c r="P28" s="66" t="n"/>
      <c r="Q28" s="67" t="n"/>
    </row>
    <row r="29" ht="20.1" customHeight="1" s="56">
      <c r="A29" s="51" t="n"/>
      <c r="B29" s="47" t="n"/>
      <c r="C29" s="63" t="n"/>
      <c r="D29" s="63" t="n"/>
      <c r="E29" s="63" t="n"/>
      <c r="F29" s="63" t="n"/>
      <c r="G29" s="63" t="n"/>
      <c r="H29" s="63" t="n"/>
      <c r="I29" s="64" t="n"/>
      <c r="J29" s="4" t="n"/>
      <c r="K29" s="5" t="n"/>
      <c r="L29" s="35" t="n"/>
      <c r="M29" s="63" t="n"/>
      <c r="N29" s="64" t="n"/>
      <c r="O29" s="65">
        <f>IF(AND(J29&lt;&gt;"",L29&lt;&gt;""),J29*L29,"")</f>
        <v/>
      </c>
      <c r="P29" s="66" t="n"/>
      <c r="Q29" s="67" t="n"/>
    </row>
    <row r="30" ht="20.1" customHeight="1" s="56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24" t="inlineStr">
        <is>
          <t>小計</t>
        </is>
      </c>
      <c r="K30" s="64" t="n"/>
      <c r="L30" s="68">
        <f>SUM(O18:Q29)</f>
        <v/>
      </c>
      <c r="M30" s="66" t="n"/>
      <c r="N30" s="66" t="n"/>
      <c r="O30" s="66" t="n"/>
      <c r="P30" s="66" t="n"/>
      <c r="Q30" s="67" t="n"/>
    </row>
    <row r="31" ht="20.1" customHeight="1" s="56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24" t="inlineStr">
        <is>
          <t>消費税</t>
        </is>
      </c>
      <c r="K31" s="64" t="n"/>
      <c r="L31" s="65">
        <f>SUM(L30*0.1)</f>
        <v/>
      </c>
      <c r="M31" s="66" t="n"/>
      <c r="N31" s="66" t="n"/>
      <c r="O31" s="66" t="n"/>
      <c r="P31" s="66" t="n"/>
      <c r="Q31" s="67" t="n"/>
    </row>
    <row r="32" ht="20.1" customHeight="1" s="56">
      <c r="A32" s="18" t="n"/>
      <c r="B32" s="18" t="n"/>
      <c r="C32" s="57" t="n"/>
      <c r="D32" s="57" t="n"/>
      <c r="E32" s="57" t="n"/>
      <c r="F32" s="57" t="n"/>
      <c r="G32" s="18" t="n"/>
      <c r="H32" s="18" t="n"/>
      <c r="I32" s="18" t="n"/>
      <c r="J32" s="24" t="inlineStr">
        <is>
          <t>合計</t>
        </is>
      </c>
      <c r="K32" s="64" t="n"/>
      <c r="L32" s="69">
        <f>L30+L31</f>
        <v/>
      </c>
      <c r="M32" s="66" t="n"/>
      <c r="N32" s="66" t="n"/>
      <c r="O32" s="66" t="n"/>
      <c r="P32" s="66" t="n"/>
      <c r="Q32" s="67" t="n"/>
    </row>
    <row r="33" ht="20.1" customHeight="1" s="56">
      <c r="A33" s="18" t="n"/>
      <c r="B33" s="19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</row>
    <row r="34" ht="20.1" customHeight="1" s="56">
      <c r="A34" s="18" t="n"/>
      <c r="B34" s="55" t="n"/>
      <c r="C34" s="57" t="n"/>
      <c r="D34" s="57" t="n"/>
      <c r="E34" s="57" t="n"/>
      <c r="F34" s="57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</row>
    <row r="35" ht="20.1" customHeight="1" s="56">
      <c r="A35" s="18" t="n"/>
      <c r="B35" s="52" t="n"/>
      <c r="C35" s="58" t="n"/>
      <c r="D35" s="58" t="n"/>
      <c r="E35" s="58" t="n"/>
      <c r="F35" s="5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</row>
    <row r="36" ht="20.1" customHeight="1" s="56">
      <c r="A36" s="24" t="inlineStr">
        <is>
          <t>備考</t>
        </is>
      </c>
      <c r="B36" s="70" t="n"/>
      <c r="C36" s="5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0" t="n"/>
    </row>
    <row r="37" ht="20.1" customHeight="1" s="56">
      <c r="A37" s="72" t="n"/>
      <c r="B37" s="73" t="n"/>
      <c r="C37" s="72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73" t="n"/>
    </row>
    <row r="38" ht="20.1" customHeight="1" s="56">
      <c r="A38" s="72" t="n"/>
      <c r="B38" s="73" t="n"/>
      <c r="C38" s="72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73" t="n"/>
    </row>
    <row r="39" ht="20.1" customHeight="1" s="56">
      <c r="A39" s="74" t="n"/>
      <c r="B39" s="75" t="n"/>
      <c r="C39" s="74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75" t="n"/>
    </row>
    <row r="40" ht="20.1" customFormat="1" customHeight="1" s="18">
      <c r="A40" s="6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</row>
    <row r="41" ht="20.1" customFormat="1" customHeight="1" s="18">
      <c r="A41" s="6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</row>
    <row r="42" ht="20.1" customFormat="1" customHeight="1" s="18">
      <c r="A42" s="6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</row>
  </sheetData>
  <mergeCells count="80">
    <mergeCell ref="O29:Q29"/>
    <mergeCell ref="O22:Q22"/>
    <mergeCell ref="O21:Q21"/>
    <mergeCell ref="L25:N25"/>
    <mergeCell ref="B17:I17"/>
    <mergeCell ref="B34:F34"/>
    <mergeCell ref="B19:I19"/>
    <mergeCell ref="J31:K31"/>
    <mergeCell ref="O19:Q19"/>
    <mergeCell ref="H15:I15"/>
    <mergeCell ref="L3:Q3"/>
    <mergeCell ref="J15:L15"/>
    <mergeCell ref="L24:N24"/>
    <mergeCell ref="L18:N18"/>
    <mergeCell ref="A11:B11"/>
    <mergeCell ref="B22:I22"/>
    <mergeCell ref="L26:N26"/>
    <mergeCell ref="L4:Q4"/>
    <mergeCell ref="K10:Q10"/>
    <mergeCell ref="B21:I21"/>
    <mergeCell ref="K6:Q6"/>
    <mergeCell ref="B23:I23"/>
    <mergeCell ref="K9:Q9"/>
    <mergeCell ref="O23:Q23"/>
    <mergeCell ref="M15:Q15"/>
    <mergeCell ref="K11:Q11"/>
    <mergeCell ref="A15:C15"/>
    <mergeCell ref="H3:I3"/>
    <mergeCell ref="B7:J7"/>
    <mergeCell ref="O24:Q24"/>
    <mergeCell ref="A3:G3"/>
    <mergeCell ref="L28:N28"/>
    <mergeCell ref="O18:Q18"/>
    <mergeCell ref="A10:B10"/>
    <mergeCell ref="C12:I12"/>
    <mergeCell ref="K8:Q8"/>
    <mergeCell ref="C36:Q39"/>
    <mergeCell ref="B25:I25"/>
    <mergeCell ref="L23:N23"/>
    <mergeCell ref="K7:Q7"/>
    <mergeCell ref="D15:G15"/>
    <mergeCell ref="L30:Q30"/>
    <mergeCell ref="O25:Q25"/>
    <mergeCell ref="B27:I27"/>
    <mergeCell ref="O27:Q27"/>
    <mergeCell ref="O17:Q17"/>
    <mergeCell ref="L31:Q31"/>
    <mergeCell ref="A12:B12"/>
    <mergeCell ref="B29:I29"/>
    <mergeCell ref="L27:N27"/>
    <mergeCell ref="C10:I10"/>
    <mergeCell ref="L17:N17"/>
    <mergeCell ref="B24:I24"/>
    <mergeCell ref="L19:N19"/>
    <mergeCell ref="K12:Q12"/>
    <mergeCell ref="C11:I11"/>
    <mergeCell ref="B4:C4"/>
    <mergeCell ref="B26:I26"/>
    <mergeCell ref="O26:Q26"/>
    <mergeCell ref="L20:N20"/>
    <mergeCell ref="A6:B6"/>
    <mergeCell ref="A1:Q1"/>
    <mergeCell ref="L29:N29"/>
    <mergeCell ref="B18:I18"/>
    <mergeCell ref="K13:Q13"/>
    <mergeCell ref="J30:K30"/>
    <mergeCell ref="D4:F4"/>
    <mergeCell ref="L22:N22"/>
    <mergeCell ref="C6:I6"/>
    <mergeCell ref="L21:N21"/>
    <mergeCell ref="J32:K32"/>
    <mergeCell ref="B28:I28"/>
    <mergeCell ref="A36:B39"/>
    <mergeCell ref="O28:Q28"/>
    <mergeCell ref="L32:Q32"/>
    <mergeCell ref="B20:I20"/>
    <mergeCell ref="B32:F32"/>
    <mergeCell ref="O20:Q20"/>
    <mergeCell ref="J17:K17"/>
    <mergeCell ref="B35:F35"/>
  </mergeCells>
  <dataValidations count="1">
    <dataValidation sqref="K29" showDropDown="0" showInputMessage="1" showErrorMessage="1" allowBlank="1" type="list">
      <formula1>$S$6:$S$10</formula1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2015-12-21T00:50:44Z</dcterms:created>
  <dcterms:modified xmlns:dcterms="http://purl.org/dc/terms/" xmlns:xsi="http://www.w3.org/2001/XMLSchema-instance" xsi:type="dcterms:W3CDTF">2026-04-25T15:38:49Z</dcterms:modified>
</cp:coreProperties>
</file>